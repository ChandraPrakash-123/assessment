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andra prakash\Desktop\"/>
    </mc:Choice>
  </mc:AlternateContent>
  <xr:revisionPtr revIDLastSave="0" documentId="8_{5B6CAF64-BBD1-4078-9283-417CEB955018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ANS-1" sheetId="23" r:id="rId2"/>
    <sheet name="Dataset" sheetId="1" r:id="rId3"/>
    <sheet name="Task_1" sheetId="15" r:id="rId4"/>
    <sheet name="ANS-2" sheetId="18" r:id="rId5"/>
    <sheet name="Ans-3" sheetId="16" r:id="rId6"/>
    <sheet name="Ans- 4" sheetId="19" r:id="rId7"/>
    <sheet name="Task_5" sheetId="20" r:id="rId8"/>
  </sheets>
  <functionGroups builtInGroupCount="19"/>
  <definedNames>
    <definedName name="_xlnm._FilterDatabase" localSheetId="6" hidden="1">'Ans- 4'!$A$11:$C$22</definedName>
    <definedName name="_xlnm._FilterDatabase" localSheetId="1" hidden="1">'ANS-1'!$D$1:$X$40</definedName>
    <definedName name="_xlnm._FilterDatabase" localSheetId="2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D22" i="19" l="1"/>
  <c r="D13" i="19"/>
  <c r="D14" i="19"/>
  <c r="D15" i="19"/>
  <c r="D16" i="19"/>
  <c r="D17" i="19"/>
  <c r="D18" i="19"/>
  <c r="D19" i="19"/>
  <c r="D20" i="19"/>
  <c r="D21" i="19"/>
  <c r="D12" i="19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6" i="18"/>
  <c r="H41" i="23"/>
</calcChain>
</file>

<file path=xl/sharedStrings.xml><?xml version="1.0" encoding="utf-8"?>
<sst xmlns="http://schemas.openxmlformats.org/spreadsheetml/2006/main" count="544" uniqueCount="180">
  <si>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</si>
  <si>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</si>
  <si>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</si>
  <si>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</si>
  <si>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</si>
  <si>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</si>
  <si>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</si>
  <si>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</si>
  <si>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</si>
  <si>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</si>
  <si>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</si>
  <si>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</si>
  <si>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</si>
  <si>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</si>
  <si>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</si>
  <si>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</si>
  <si>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</si>
  <si>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</si>
  <si>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</si>
  <si>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</si>
  <si>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</si>
  <si>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</si>
  <si>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</si>
  <si>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</si>
  <si>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</si>
  <si>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</si>
  <si>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</si>
  <si>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</si>
  <si>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</si>
  <si>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</si>
  <si>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</si>
  <si>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</si>
  <si>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</si>
  <si>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</si>
  <si>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</si>
  <si>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</si>
  <si>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</si>
  <si>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</si>
  <si>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</si>
  <si>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</si>
  <si>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</si>
  <si>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</si>
  <si>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</si>
  <si>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</si>
  <si>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</si>
  <si>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</si>
  <si>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</si>
  <si>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</si>
  <si>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</si>
  <si>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</si>
  <si>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</si>
  <si>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</si>
  <si>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</si>
  <si>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</si>
  <si>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</si>
  <si>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</si>
  <si>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</si>
  <si>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</si>
  <si>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</si>
  <si>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</si>
  <si>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</si>
  <si>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</si>
  <si>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</si>
  <si>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</si>
  <si>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</si>
  <si>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</si>
  <si>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</si>
  <si>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</si>
  <si>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</si>
  <si>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</si>
  <si>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</si>
  <si>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</si>
  <si>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</si>
  <si>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</si>
  <si>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</si>
  <si>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</si>
  <si>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</si>
  <si>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</si>
  <si>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</si>
  <si>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</si>
  <si>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</si>
  <si>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</si>
  <si>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</si>
  <si>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</si>
  <si>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</si>
  <si>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</si>
  <si>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</si>
  <si>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</si>
  <si>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</si>
  <si>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</si>
  <si>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</si>
  <si>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</si>
  <si>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</si>
  <si>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</si>
  <si>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</si>
  <si>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</si>
  <si>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</si>
  <si>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</si>
  <si>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</si>
  <si>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</si>
  <si>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</si>
  <si>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</si>
  <si>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</si>
  <si>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</si>
  <si>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</si>
  <si>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</si>
  <si>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</si>
  <si>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</si>
  <si>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</si>
  <si>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</si>
  <si>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</si>
  <si>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</si>
  <si>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</si>
  <si>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</si>
  <si>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</si>
  <si>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</si>
  <si>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</si>
  <si>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</si>
  <si>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</si>
  <si>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</si>
  <si>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</si>
  <si>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</si>
  <si>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</si>
  <si>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</si>
  <si>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</si>
  <si>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</si>
  <si>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</si>
  <si>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</si>
  <si>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</si>
  <si>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</si>
  <si>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</si>
  <si>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</si>
  <si>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</si>
  <si>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</si>
  <si>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</si>
  <si>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</si>
  <si>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</si>
  <si>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</si>
  <si>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</si>
  <si>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</si>
  <si>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</si>
  <si>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</si>
  <si>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</si>
  <si>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</si>
  <si>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</si>
  <si>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</si>
  <si>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</si>
  <si>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</si>
  <si>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</si>
  <si>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</si>
  <si>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</si>
  <si>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</si>
  <si>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</si>
  <si>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</si>
  <si>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</si>
  <si>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</si>
  <si>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</si>
  <si>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</si>
  <si>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</si>
  <si>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</si>
  <si>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</si>
  <si>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</si>
  <si>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</si>
  <si>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</si>
  <si>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</si>
  <si>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</si>
  <si>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</si>
  <si>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</si>
  <si>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</si>
  <si>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</si>
  <si>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</si>
  <si>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</si>
  <si>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</si>
  <si>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</si>
  <si>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</si>
  <si>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</si>
  <si>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</si>
  <si>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</si>
  <si>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select the data and go to the data tab and select text to column and go to the other section and type dash(-) and go the nest and choose destination .</t>
  </si>
  <si>
    <t>Updated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</si>
</sst>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542C731-BE89-4F76-BC72-200F6DA13149}">
  <we:reference id="wa200005271" version="2.4.2.0" store="en-US" storeType="OMEX"/>
  <we:alternateReferences>
    <we:reference id="wa200005271" version="2.4.2.0" store="wa200005271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7" t="s">
        <v>172</v>
      </c>
      <c r="B9" s="26" t="s">
        <v>170</v>
      </c>
    </row>
    <row r="10" spans="1:3" x14ac:dyDescent="0.3">
      <c r="A10" s="36" t="s">
        <v>173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FEA4F-3B8C-4439-9957-C585FCC94B0E}">
  <sheetPr filterMode="1"/>
  <dimension ref="A1:X41"/>
  <sheetViews>
    <sheetView zoomScaleNormal="100" workbookViewId="0">
      <pane ySplit="1" topLeftCell="A14" activePane="bottomLeft" state="frozen"/>
      <selection activeCell="L1" sqref="L1"/>
      <selection pane="bottomLeft" activeCell="A14" sqref="A14:A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 hidden="1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hidden="1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hidden="1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hidden="1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hidden="1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hidden="1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hidden="1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hidden="1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hidden="1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hidden="1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hidden="1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hidden="1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  <row r="41" spans="1:24" x14ac:dyDescent="0.3">
      <c r="H41" s="3">
        <f>SUM(H10:H40)</f>
        <v>1471.0000000000002</v>
      </c>
    </row>
  </sheetData>
  <autoFilter ref="D1:X40" xr:uid="{058FEA4F-3B8C-4439-9957-C585FCC94B0E}">
    <filterColumn colId="4">
      <customFilters>
        <customFilter operator="greaterThan" val="20"/>
      </customFilters>
    </filterColumn>
  </autoFilter>
  <conditionalFormatting sqref="R6">
    <cfRule type="cellIs" dxfId="4" priority="3" operator="equal">
      <formula>0</formula>
    </cfRule>
  </conditionalFormatting>
  <conditionalFormatting sqref="A1:X40">
    <cfRule type="cellIs" dxfId="2" priority="2" operator="equal">
      <formula>0</formula>
    </cfRule>
    <cfRule type="cellIs" dxfId="3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topLeftCell="J1" zoomScaleNormal="100" workbookViewId="0">
      <selection activeCell="N29" sqref="N2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9" sqref="B2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I20" sqref="I2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165</v>
      </c>
    </row>
    <row r="2" spans="1:7" s="42" customFormat="1" ht="21" x14ac:dyDescent="0.4">
      <c r="B2" s="42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VLOOKUP(Dataset!A2,Dataset!A2:X40,7,0)</f>
        <v>2.7</v>
      </c>
      <c r="C6" s="12">
        <f>VLOOKUP(Dataset!A2,Dataset!A2:X40,14,0)</f>
        <v>7.6</v>
      </c>
      <c r="D6" s="12">
        <f>VLOOKUP(Dataset!A2,Dataset!A2:X40,18,0)</f>
        <v>4.2</v>
      </c>
      <c r="E6" s="12">
        <f>VLOOKUP(Dataset!A2,Dataset!A2:X40,20,0)</f>
        <v>8.9</v>
      </c>
      <c r="F6" s="8">
        <f>VLOOKUP(Dataset!A2,Dataset!A2:X40,22,0)</f>
        <v>4.2</v>
      </c>
    </row>
    <row r="7" spans="1:7" ht="14.4" x14ac:dyDescent="0.3">
      <c r="A7" s="7" t="s">
        <v>4</v>
      </c>
      <c r="B7" s="12">
        <f>VLOOKUP(Dataset!A3,Dataset!A3:X41,7,0)</f>
        <v>2.7</v>
      </c>
      <c r="C7" s="12">
        <f>VLOOKUP(Dataset!A3,Dataset!A3:X41,14,0)</f>
        <v>7.6</v>
      </c>
      <c r="D7" s="12">
        <f>VLOOKUP(Dataset!A3,Dataset!A3:X41,18,0)</f>
        <v>4.2</v>
      </c>
      <c r="E7" s="12">
        <f>VLOOKUP(Dataset!A3,Dataset!A3:X41,20,0)</f>
        <v>8.9</v>
      </c>
      <c r="F7" s="8">
        <f>VLOOKUP(Dataset!A3,Dataset!A3:X41,22,0)</f>
        <v>4.2</v>
      </c>
    </row>
    <row r="8" spans="1:7" ht="14.4" x14ac:dyDescent="0.3">
      <c r="A8" s="7" t="s">
        <v>7</v>
      </c>
      <c r="B8" s="12">
        <f>VLOOKUP(Dataset!A4,Dataset!A4:X42,7,0)</f>
        <v>3.6</v>
      </c>
      <c r="C8" s="12">
        <f>VLOOKUP(Dataset!A4,Dataset!A4:X42,14,0)</f>
        <v>11.1</v>
      </c>
      <c r="D8" s="12">
        <f>VLOOKUP(Dataset!A4,Dataset!A4:X42,18,0)</f>
        <v>5.8</v>
      </c>
      <c r="E8" s="12">
        <f>VLOOKUP(Dataset!A4,Dataset!A4:X42,20,0)</f>
        <v>12.2</v>
      </c>
      <c r="F8" s="8">
        <f>VLOOKUP(Dataset!A4,Dataset!A4:X42,22,0)</f>
        <v>5.8</v>
      </c>
    </row>
    <row r="9" spans="1:7" ht="14.4" x14ac:dyDescent="0.3">
      <c r="A9" s="7" t="s">
        <v>8</v>
      </c>
      <c r="B9" s="12">
        <f>VLOOKUP(Dataset!A5,Dataset!A5:X43,7,0)</f>
        <v>4.9000000000000004</v>
      </c>
      <c r="C9" s="12">
        <f>VLOOKUP(Dataset!A5,Dataset!A5:X43,14,0)</f>
        <v>13.3</v>
      </c>
      <c r="D9" s="12">
        <f>VLOOKUP(Dataset!A5,Dataset!A5:X43,18,0)</f>
        <v>8.1</v>
      </c>
      <c r="E9" s="12">
        <f>VLOOKUP(Dataset!A5,Dataset!A5:X43,20,0)</f>
        <v>17</v>
      </c>
      <c r="F9" s="8">
        <f>VLOOKUP(Dataset!A5,Dataset!A5:X43,22,0)</f>
        <v>8.1</v>
      </c>
    </row>
    <row r="10" spans="1:7" ht="14.4" x14ac:dyDescent="0.3">
      <c r="A10" s="7" t="s">
        <v>11</v>
      </c>
      <c r="B10" s="12">
        <f>VLOOKUP(Dataset!A6,Dataset!A6:X44,7,0)</f>
        <v>6.6</v>
      </c>
      <c r="C10" s="12">
        <f>VLOOKUP(Dataset!A6,Dataset!A6:X44,14,0)</f>
        <v>18</v>
      </c>
      <c r="D10" s="12">
        <f>VLOOKUP(Dataset!A6,Dataset!A6:X44,18,0)</f>
        <v>11</v>
      </c>
      <c r="E10" s="12">
        <f>VLOOKUP(Dataset!A6,Dataset!A6:X44,20,0)</f>
        <v>22.5</v>
      </c>
      <c r="F10" s="8">
        <f>VLOOKUP(Dataset!A6,Dataset!A6:X44,22,0)</f>
        <v>11</v>
      </c>
    </row>
    <row r="11" spans="1:7" ht="14.4" x14ac:dyDescent="0.3">
      <c r="A11" s="7" t="s">
        <v>12</v>
      </c>
      <c r="B11" s="12">
        <f>VLOOKUP(Dataset!A7,Dataset!A7:X45,7,0)</f>
        <v>7.1</v>
      </c>
      <c r="C11" s="12">
        <f>VLOOKUP(Dataset!A7,Dataset!A7:X45,14,0)</f>
        <v>21.5</v>
      </c>
      <c r="D11" s="12">
        <f>VLOOKUP(Dataset!A7,Dataset!A7:X45,18,0)</f>
        <v>12.8</v>
      </c>
      <c r="E11" s="12">
        <f>VLOOKUP(Dataset!A7,Dataset!A7:X45,20,0)</f>
        <v>26.1</v>
      </c>
      <c r="F11" s="8">
        <f>VLOOKUP(Dataset!A7,Dataset!A7:X45,22,0)</f>
        <v>12.8</v>
      </c>
    </row>
    <row r="12" spans="1:7" ht="14.4" x14ac:dyDescent="0.3">
      <c r="A12" s="7" t="s">
        <v>14</v>
      </c>
      <c r="B12" s="12">
        <f>VLOOKUP(Dataset!A8,Dataset!A8:X46,7,0)</f>
        <v>9.4</v>
      </c>
      <c r="C12" s="12">
        <f>VLOOKUP(Dataset!A8,Dataset!A8:X46,14,0)</f>
        <v>28.3</v>
      </c>
      <c r="D12" s="12">
        <f>VLOOKUP(Dataset!A8,Dataset!A8:X46,18,0)</f>
        <v>16.100000000000001</v>
      </c>
      <c r="E12" s="12">
        <f>VLOOKUP(Dataset!A8,Dataset!A8:X46,20,0)</f>
        <v>32.799999999999997</v>
      </c>
      <c r="F12" s="8">
        <f>VLOOKUP(Dataset!A8,Dataset!A8:X46,22,0)</f>
        <v>16.100000000000001</v>
      </c>
    </row>
    <row r="13" spans="1:7" ht="14.4" x14ac:dyDescent="0.3">
      <c r="A13" s="7" t="s">
        <v>15</v>
      </c>
      <c r="B13" s="12">
        <f>VLOOKUP(Dataset!A9,Dataset!A9:X47,7,0)</f>
        <v>11.6</v>
      </c>
      <c r="C13" s="12">
        <f>VLOOKUP(Dataset!A9,Dataset!A9:X47,14,0)</f>
        <v>35.200000000000003</v>
      </c>
      <c r="D13" s="12">
        <f>VLOOKUP(Dataset!A9,Dataset!A9:X47,18,0)</f>
        <v>21.3</v>
      </c>
      <c r="E13" s="12">
        <f>VLOOKUP(Dataset!A9,Dataset!A9:X47,20,0)</f>
        <v>43</v>
      </c>
      <c r="F13" s="8">
        <f>VLOOKUP(Dataset!A9,Dataset!A9:X47,22,0)</f>
        <v>21.3</v>
      </c>
    </row>
    <row r="14" spans="1:7" ht="14.4" x14ac:dyDescent="0.3">
      <c r="A14" s="7" t="s">
        <v>16</v>
      </c>
      <c r="B14" s="12">
        <f>VLOOKUP(Dataset!A10,Dataset!A10:X48,7,0)</f>
        <v>16.100000000000001</v>
      </c>
      <c r="C14" s="12">
        <f>VLOOKUP(Dataset!A10,Dataset!A10:X48,14,0)</f>
        <v>49</v>
      </c>
      <c r="D14" s="12">
        <f>VLOOKUP(Dataset!A10,Dataset!A10:X48,18,0)</f>
        <v>29.1</v>
      </c>
      <c r="E14" s="12">
        <f>VLOOKUP(Dataset!A10,Dataset!A10:X48,20,0)</f>
        <v>59</v>
      </c>
      <c r="F14" s="8">
        <f>VLOOKUP(Dataset!A10,Dataset!A10:X48,22,0)</f>
        <v>29.1</v>
      </c>
    </row>
    <row r="15" spans="1:7" ht="14.4" x14ac:dyDescent="0.3">
      <c r="A15" s="7" t="s">
        <v>18</v>
      </c>
      <c r="B15" s="12">
        <f>VLOOKUP(Dataset!A11,Dataset!A11:X49,7,0)</f>
        <v>18.399999999999999</v>
      </c>
      <c r="C15" s="12">
        <f>VLOOKUP(Dataset!A11,Dataset!A11:X49,14,0)</f>
        <v>55.6</v>
      </c>
      <c r="D15" s="12">
        <f>VLOOKUP(Dataset!A11,Dataset!A11:X49,18,0)</f>
        <v>33.799999999999997</v>
      </c>
      <c r="E15" s="12">
        <f>VLOOKUP(Dataset!A11,Dataset!A11:X49,20,0)</f>
        <v>67.900000000000006</v>
      </c>
      <c r="F15" s="8">
        <f>VLOOKUP(Dataset!A11,Dataset!A11:X49,22,0)</f>
        <v>33.799999999999997</v>
      </c>
    </row>
    <row r="16" spans="1:7" ht="14.4" x14ac:dyDescent="0.3">
      <c r="A16" s="7" t="s">
        <v>20</v>
      </c>
      <c r="B16" s="12">
        <f>VLOOKUP(Dataset!A12,Dataset!A12:X50,7,0)</f>
        <v>0</v>
      </c>
      <c r="C16" s="12">
        <f>VLOOKUP(Dataset!A12,Dataset!A12:X50,14,0)</f>
        <v>0</v>
      </c>
      <c r="D16" s="12">
        <f>VLOOKUP(Dataset!A12,Dataset!A12:X50,18,0)</f>
        <v>0</v>
      </c>
      <c r="E16" s="12">
        <f>VLOOKUP(Dataset!A12,Dataset!A12:X50,20,0)</f>
        <v>0</v>
      </c>
      <c r="F16" s="8">
        <f>VLOOKUP(Dataset!A12,Dataset!A12:X50,22,0)</f>
        <v>0</v>
      </c>
    </row>
    <row r="17" spans="1:6" ht="14.4" x14ac:dyDescent="0.3">
      <c r="A17" s="7" t="s">
        <v>22</v>
      </c>
      <c r="B17" s="12">
        <f>VLOOKUP(Dataset!A13,Dataset!A13:X51,7,0)</f>
        <v>21.9</v>
      </c>
      <c r="C17" s="12">
        <f>VLOOKUP(Dataset!A13,Dataset!A13:X51,14,0)</f>
        <v>61.5</v>
      </c>
      <c r="D17" s="12">
        <f>VLOOKUP(Dataset!A13,Dataset!A13:X51,18,0)</f>
        <v>40.1</v>
      </c>
      <c r="E17" s="12">
        <f>VLOOKUP(Dataset!A13,Dataset!A13:X51,20,0)</f>
        <v>76.599999999999994</v>
      </c>
      <c r="F17" s="8">
        <f>VLOOKUP(Dataset!A13,Dataset!A13:X51,22,0)</f>
        <v>40.1</v>
      </c>
    </row>
    <row r="18" spans="1:6" ht="14.4" x14ac:dyDescent="0.3">
      <c r="A18" s="7" t="s">
        <v>23</v>
      </c>
      <c r="B18" s="12">
        <f>VLOOKUP(Dataset!A14,Dataset!A14:X52,7,0)</f>
        <v>23.5</v>
      </c>
      <c r="C18" s="12">
        <f>VLOOKUP(Dataset!A14,Dataset!A14:X52,14,0)</f>
        <v>70.8</v>
      </c>
      <c r="D18" s="12">
        <f>VLOOKUP(Dataset!A14,Dataset!A14:X52,18,0)</f>
        <v>42.7</v>
      </c>
      <c r="E18" s="12">
        <f>VLOOKUP(Dataset!A14,Dataset!A14:X52,20,0)</f>
        <v>86.6</v>
      </c>
      <c r="F18" s="8">
        <f>VLOOKUP(Dataset!A14,Dataset!A14:X52,22,0)</f>
        <v>42.7</v>
      </c>
    </row>
    <row r="19" spans="1:6" ht="14.4" x14ac:dyDescent="0.3">
      <c r="A19" s="7" t="s">
        <v>24</v>
      </c>
      <c r="B19" s="12">
        <f>VLOOKUP(Dataset!A15,Dataset!A15:X53,7,0)</f>
        <v>26.8</v>
      </c>
      <c r="C19" s="12">
        <f>VLOOKUP(Dataset!A15,Dataset!A15:X53,14,0)</f>
        <v>79.599999999999994</v>
      </c>
      <c r="D19" s="12">
        <f>VLOOKUP(Dataset!A15,Dataset!A15:X53,18,0)</f>
        <v>47.9</v>
      </c>
      <c r="E19" s="12">
        <f>VLOOKUP(Dataset!A15,Dataset!A15:X53,20,0)</f>
        <v>96.8</v>
      </c>
      <c r="F19" s="8">
        <f>VLOOKUP(Dataset!A15,Dataset!A15:X53,22,0)</f>
        <v>47.9</v>
      </c>
    </row>
    <row r="20" spans="1:6" ht="14.4" x14ac:dyDescent="0.3">
      <c r="A20" s="7" t="s">
        <v>28</v>
      </c>
      <c r="B20" s="12">
        <f>VLOOKUP(Dataset!A16,Dataset!A16:X54,7,0)</f>
        <v>28</v>
      </c>
      <c r="C20" s="12">
        <f>VLOOKUP(Dataset!A16,Dataset!A16:X54,14,0)</f>
        <v>83.2</v>
      </c>
      <c r="D20" s="12">
        <f>VLOOKUP(Dataset!A16,Dataset!A16:X54,18,0)</f>
        <v>50.1</v>
      </c>
      <c r="E20" s="12">
        <f>VLOOKUP(Dataset!A16,Dataset!A16:X54,20,0)</f>
        <v>101.3</v>
      </c>
      <c r="F20" s="8">
        <f>VLOOKUP(Dataset!A16,Dataset!A16:X54,22,0)</f>
        <v>50.1</v>
      </c>
    </row>
    <row r="21" spans="1:6" ht="14.4" x14ac:dyDescent="0.3">
      <c r="A21" s="7" t="s">
        <v>57</v>
      </c>
      <c r="B21" s="12">
        <f>VLOOKUP(Dataset!A17,Dataset!A17:X55,7,0)</f>
        <v>28.5</v>
      </c>
      <c r="C21" s="12">
        <f>VLOOKUP(Dataset!A17,Dataset!A17:X55,14,0)</f>
        <v>85.4</v>
      </c>
      <c r="D21" s="12">
        <f>VLOOKUP(Dataset!A17,Dataset!A17:X55,18,0)</f>
        <v>52.3</v>
      </c>
      <c r="E21" s="12">
        <f>VLOOKUP(Dataset!A17,Dataset!A17:X55,20,0)</f>
        <v>106.1</v>
      </c>
      <c r="F21" s="8">
        <f>VLOOKUP(Dataset!A17,Dataset!A17:X55,22,0)</f>
        <v>52.3</v>
      </c>
    </row>
    <row r="22" spans="1:6" ht="14.4" x14ac:dyDescent="0.3">
      <c r="A22" s="7" t="s">
        <v>58</v>
      </c>
      <c r="B22" s="12">
        <f>VLOOKUP(Dataset!A18,Dataset!A18:X56,7,0)</f>
        <v>29.1</v>
      </c>
      <c r="C22" s="12">
        <f>VLOOKUP(Dataset!A18,Dataset!A18:X56,14,0)</f>
        <v>87.6</v>
      </c>
      <c r="D22" s="12">
        <f>VLOOKUP(Dataset!A18,Dataset!A18:X56,18,0)</f>
        <v>53.7</v>
      </c>
      <c r="E22" s="12">
        <f>VLOOKUP(Dataset!A18,Dataset!A18:X56,20,0)</f>
        <v>108.8</v>
      </c>
      <c r="F22" s="8">
        <f>VLOOKUP(Dataset!A18,Dataset!A18:X56,22,0)</f>
        <v>53.7</v>
      </c>
    </row>
    <row r="23" spans="1:6" ht="14.4" x14ac:dyDescent="0.3">
      <c r="A23" s="7" t="s">
        <v>31</v>
      </c>
      <c r="B23" s="12">
        <f>VLOOKUP(Dataset!A19,Dataset!A19:X57,7,0)</f>
        <v>30.7</v>
      </c>
      <c r="C23" s="12">
        <f>VLOOKUP(Dataset!A19,Dataset!A19:X57,14,0)</f>
        <v>92.1</v>
      </c>
      <c r="D23" s="12">
        <f>VLOOKUP(Dataset!A19,Dataset!A19:X57,18,0)</f>
        <v>57</v>
      </c>
      <c r="E23" s="12">
        <f>VLOOKUP(Dataset!A19,Dataset!A19:X57,20,0)</f>
        <v>115.1</v>
      </c>
      <c r="F23" s="8">
        <f>VLOOKUP(Dataset!A19,Dataset!A19:X57,22,0)</f>
        <v>57</v>
      </c>
    </row>
    <row r="24" spans="1:6" ht="14.4" x14ac:dyDescent="0.3">
      <c r="A24" s="7" t="s">
        <v>32</v>
      </c>
      <c r="B24" s="12">
        <f>VLOOKUP(Dataset!A20,Dataset!A20:X58,7,0)</f>
        <v>33.799999999999997</v>
      </c>
      <c r="C24" s="12">
        <f>VLOOKUP(Dataset!A20,Dataset!A20:X58,14,0)</f>
        <v>101.3</v>
      </c>
      <c r="D24" s="12">
        <f>VLOOKUP(Dataset!A20,Dataset!A20:X58,18,0)</f>
        <v>61.4</v>
      </c>
      <c r="E24" s="12">
        <f>VLOOKUP(Dataset!A20,Dataset!A20:X58,20,0)</f>
        <v>124.4</v>
      </c>
      <c r="F24" s="8">
        <f>VLOOKUP(Dataset!A20,Dataset!A20:X58,22,0)</f>
        <v>61.4</v>
      </c>
    </row>
    <row r="25" spans="1:6" ht="14.4" x14ac:dyDescent="0.3">
      <c r="A25" s="7" t="s">
        <v>34</v>
      </c>
      <c r="B25" s="12">
        <f>VLOOKUP(Dataset!A21,Dataset!A21:X59,7,0)</f>
        <v>34.700000000000003</v>
      </c>
      <c r="C25" s="12">
        <f>VLOOKUP(Dataset!A21,Dataset!A21:X59,14,0)</f>
        <v>106.1</v>
      </c>
      <c r="D25" s="12">
        <f>VLOOKUP(Dataset!A21,Dataset!A21:X59,18,0)</f>
        <v>63.6</v>
      </c>
      <c r="E25" s="12">
        <f>VLOOKUP(Dataset!A21,Dataset!A21:X59,20,0)</f>
        <v>128.6</v>
      </c>
      <c r="F25" s="8">
        <f>VLOOKUP(Dataset!A21,Dataset!A21:X59,22,0)</f>
        <v>63.6</v>
      </c>
    </row>
    <row r="26" spans="1:6" ht="14.4" x14ac:dyDescent="0.3">
      <c r="A26" s="7" t="s">
        <v>37</v>
      </c>
      <c r="B26" s="12">
        <f>VLOOKUP(Dataset!A22,Dataset!A22:X60,7,0)</f>
        <v>36.5</v>
      </c>
      <c r="C26" s="12">
        <f>VLOOKUP(Dataset!A22,Dataset!A22:X60,14,0)</f>
        <v>110.3</v>
      </c>
      <c r="D26" s="12">
        <f>VLOOKUP(Dataset!A22,Dataset!A22:X60,18,0)</f>
        <v>65.900000000000006</v>
      </c>
      <c r="E26" s="12">
        <f>VLOOKUP(Dataset!A22,Dataset!A22:X60,20,0)</f>
        <v>133.4</v>
      </c>
      <c r="F26" s="8">
        <f>VLOOKUP(Dataset!A22,Dataset!A22:X60,22,0)</f>
        <v>65.900000000000006</v>
      </c>
    </row>
    <row r="27" spans="1:6" ht="14.4" x14ac:dyDescent="0.3">
      <c r="A27" s="7" t="s">
        <v>39</v>
      </c>
      <c r="B27" s="12">
        <f>VLOOKUP(Dataset!A23,Dataset!A23:X61,7,0)</f>
        <v>38</v>
      </c>
      <c r="C27" s="12">
        <f>VLOOKUP(Dataset!A23,Dataset!A23:X61,14,0)</f>
        <v>115.5</v>
      </c>
      <c r="D27" s="12">
        <f>VLOOKUP(Dataset!A23,Dataset!A23:X61,18,0)</f>
        <v>68.7</v>
      </c>
      <c r="E27" s="12">
        <f>VLOOKUP(Dataset!A23,Dataset!A23:X61,20,0)</f>
        <v>138.80000000000001</v>
      </c>
      <c r="F27" s="8">
        <f>VLOOKUP(Dataset!A23,Dataset!A23:X61,22,0)</f>
        <v>68.7</v>
      </c>
    </row>
    <row r="28" spans="1:6" ht="14.4" x14ac:dyDescent="0.3">
      <c r="A28" s="19" t="s">
        <v>82</v>
      </c>
      <c r="B28" s="32">
        <f>MIN(B6:B27)</f>
        <v>0</v>
      </c>
      <c r="C28" s="32">
        <f t="shared" ref="C28:F28" si="0">MIN(C6:C27)</f>
        <v>0</v>
      </c>
      <c r="D28" s="32">
        <f t="shared" si="0"/>
        <v>0</v>
      </c>
      <c r="E28" s="32">
        <f t="shared" si="0"/>
        <v>0</v>
      </c>
      <c r="F28" s="32">
        <f t="shared" si="0"/>
        <v>0</v>
      </c>
    </row>
    <row r="29" spans="1:6" ht="14.4" x14ac:dyDescent="0.3">
      <c r="A29" s="19" t="s">
        <v>83</v>
      </c>
      <c r="B29" s="32">
        <f>MAX(B6:B27)</f>
        <v>38</v>
      </c>
      <c r="C29" s="32">
        <f t="shared" ref="C29:F29" si="1">MAX(C6:C27)</f>
        <v>115.5</v>
      </c>
      <c r="D29" s="32">
        <f t="shared" si="1"/>
        <v>68.7</v>
      </c>
      <c r="E29" s="32">
        <f t="shared" si="1"/>
        <v>138.80000000000001</v>
      </c>
      <c r="F29" s="32">
        <f t="shared" si="1"/>
        <v>68.7</v>
      </c>
    </row>
    <row r="30" spans="1:6" ht="14.4" x14ac:dyDescent="0.3">
      <c r="A30" s="19" t="s">
        <v>84</v>
      </c>
      <c r="B30" s="32">
        <f>AVERAGE(B6:B27)</f>
        <v>18.845454545454547</v>
      </c>
      <c r="C30" s="32">
        <f t="shared" ref="C30:F30" si="2">AVERAGE(C6:C27)</f>
        <v>56.390909090909098</v>
      </c>
      <c r="D30" s="32">
        <f t="shared" si="2"/>
        <v>34.081818181818186</v>
      </c>
      <c r="E30" s="32">
        <f t="shared" si="2"/>
        <v>68.854545454545459</v>
      </c>
      <c r="F30" s="32">
        <f t="shared" si="2"/>
        <v>34.081818181818186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7" zoomScaleNormal="100" workbookViewId="0">
      <selection activeCell="B5" sqref="B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4" t="s">
        <v>53</v>
      </c>
      <c r="B5" s="41" t="s">
        <v>178</v>
      </c>
    </row>
    <row r="6" spans="1:10" ht="18" x14ac:dyDescent="0.35">
      <c r="A6" s="44" t="s">
        <v>154</v>
      </c>
      <c r="B6" s="41"/>
    </row>
    <row r="7" spans="1:10" ht="18" x14ac:dyDescent="0.35">
      <c r="A7" s="44"/>
      <c r="B7" s="41"/>
    </row>
    <row r="9" spans="1:10" ht="23.4" x14ac:dyDescent="0.45">
      <c r="A9" s="18" t="s">
        <v>166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3" t="s">
        <v>85</v>
      </c>
      <c r="B1" s="42" t="s">
        <v>168</v>
      </c>
    </row>
    <row r="2" spans="1:4" ht="18" x14ac:dyDescent="0.35">
      <c r="B2" s="41" t="s">
        <v>167</v>
      </c>
    </row>
    <row r="5" spans="1:4" ht="14.4" x14ac:dyDescent="0.3">
      <c r="B5" s="1" t="s">
        <v>152</v>
      </c>
    </row>
    <row r="6" spans="1:4" ht="14.4" x14ac:dyDescent="0.3">
      <c r="A6" s="3" t="s">
        <v>53</v>
      </c>
      <c r="B6" s="1"/>
    </row>
    <row r="7" spans="1:4" ht="14.4" x14ac:dyDescent="0.3">
      <c r="A7" s="3" t="s">
        <v>154</v>
      </c>
      <c r="B7" s="1"/>
    </row>
    <row r="10" spans="1:4" ht="23.4" x14ac:dyDescent="0.45">
      <c r="A10" s="18" t="s">
        <v>163</v>
      </c>
    </row>
    <row r="11" spans="1:4" ht="14.4" x14ac:dyDescent="0.3">
      <c r="A11" s="33" t="s">
        <v>86</v>
      </c>
      <c r="B11" s="17" t="s">
        <v>87</v>
      </c>
      <c r="C11" s="17" t="s">
        <v>88</v>
      </c>
      <c r="D11" s="2" t="s">
        <v>179</v>
      </c>
    </row>
    <row r="12" spans="1:4" ht="14.4" x14ac:dyDescent="0.3">
      <c r="A12" s="33">
        <v>44927</v>
      </c>
      <c r="B12" s="17" t="s">
        <v>59</v>
      </c>
      <c r="C12" s="17">
        <v>200</v>
      </c>
      <c r="D12" s="2">
        <f>IF(ISNA(C12:C21), 20, C12:C21)</f>
        <v>200</v>
      </c>
    </row>
    <row r="13" spans="1:4" ht="14.4" x14ac:dyDescent="0.3">
      <c r="A13" s="33">
        <v>44928</v>
      </c>
      <c r="B13" s="17" t="s">
        <v>60</v>
      </c>
      <c r="C13" s="17" t="e">
        <v>#N/A</v>
      </c>
      <c r="D13" s="2">
        <f t="shared" ref="D13:D21" si="0">IF(ISNA(C13:C22), 20, C13:C22)</f>
        <v>20</v>
      </c>
    </row>
    <row r="14" spans="1:4" ht="14.4" x14ac:dyDescent="0.3">
      <c r="A14" s="33">
        <v>44929</v>
      </c>
      <c r="B14" s="17" t="s">
        <v>61</v>
      </c>
      <c r="C14" s="17">
        <v>50</v>
      </c>
      <c r="D14" s="2">
        <f t="shared" si="0"/>
        <v>50</v>
      </c>
    </row>
    <row r="15" spans="1:4" ht="14.4" x14ac:dyDescent="0.3">
      <c r="A15" s="33">
        <v>44930</v>
      </c>
      <c r="B15" s="17" t="s">
        <v>62</v>
      </c>
      <c r="C15" s="17" t="e">
        <v>#N/A</v>
      </c>
      <c r="D15" s="2">
        <f t="shared" si="0"/>
        <v>20</v>
      </c>
    </row>
    <row r="16" spans="1:4" ht="14.4" x14ac:dyDescent="0.3">
      <c r="A16" s="33">
        <v>44931</v>
      </c>
      <c r="B16" s="17" t="s">
        <v>63</v>
      </c>
      <c r="C16" s="17">
        <v>10</v>
      </c>
      <c r="D16" s="2">
        <f t="shared" si="0"/>
        <v>10</v>
      </c>
    </row>
    <row r="17" spans="1:4" ht="14.4" x14ac:dyDescent="0.3">
      <c r="A17" s="33">
        <v>44932</v>
      </c>
      <c r="B17" s="17" t="s">
        <v>155</v>
      </c>
      <c r="C17" s="17">
        <v>150</v>
      </c>
      <c r="D17" s="2">
        <f t="shared" si="0"/>
        <v>150</v>
      </c>
    </row>
    <row r="18" spans="1:4" ht="14.4" x14ac:dyDescent="0.3">
      <c r="A18" s="33">
        <v>44933</v>
      </c>
      <c r="B18" s="17" t="s">
        <v>156</v>
      </c>
      <c r="C18" s="17">
        <v>80</v>
      </c>
      <c r="D18" s="2">
        <f t="shared" si="0"/>
        <v>80</v>
      </c>
    </row>
    <row r="19" spans="1:4" ht="14.4" x14ac:dyDescent="0.3">
      <c r="A19" s="33">
        <v>44934</v>
      </c>
      <c r="B19" s="17" t="s">
        <v>157</v>
      </c>
      <c r="C19" s="17" t="e">
        <v>#N/A</v>
      </c>
      <c r="D19" s="2">
        <f t="shared" si="0"/>
        <v>20</v>
      </c>
    </row>
    <row r="20" spans="1:4" ht="14.4" x14ac:dyDescent="0.3">
      <c r="A20" s="33">
        <v>44935</v>
      </c>
      <c r="B20" s="17" t="s">
        <v>158</v>
      </c>
      <c r="C20" s="17">
        <v>30</v>
      </c>
      <c r="D20" s="2">
        <f t="shared" si="0"/>
        <v>30</v>
      </c>
    </row>
    <row r="21" spans="1:4" ht="14.4" x14ac:dyDescent="0.3">
      <c r="A21" s="33">
        <v>44936</v>
      </c>
      <c r="B21" s="17" t="s">
        <v>159</v>
      </c>
      <c r="C21" s="17" t="e">
        <v>#N/A</v>
      </c>
      <c r="D21" s="2">
        <f t="shared" si="0"/>
        <v>20</v>
      </c>
    </row>
    <row r="22" spans="1:4" ht="14.4" x14ac:dyDescent="0.3">
      <c r="B22" s="17" t="s">
        <v>160</v>
      </c>
      <c r="C22" s="25"/>
      <c r="D22" s="2">
        <f>SUM(D12:D21)</f>
        <v>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9"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176</v>
      </c>
    </row>
    <row r="3" spans="1:14" ht="14.4" x14ac:dyDescent="0.3">
      <c r="B3" s="1" t="s">
        <v>152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/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ANS-1</vt:lpstr>
      <vt:lpstr>Dataset</vt:lpstr>
      <vt:lpstr>Task_1</vt:lpstr>
      <vt:lpstr>ANS-2</vt:lpstr>
      <vt:lpstr>Ans-3</vt:lpstr>
      <vt:lpstr>Ans- 4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CHANDRA PRAKASH MAURYA</cp:lastModifiedBy>
  <dcterms:created xsi:type="dcterms:W3CDTF">2015-02-10T17:33:11Z</dcterms:created>
  <dcterms:modified xsi:type="dcterms:W3CDTF">2023-12-10T18:03:38Z</dcterms:modified>
</cp:coreProperties>
</file>